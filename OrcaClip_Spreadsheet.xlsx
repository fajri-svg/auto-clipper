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Log" sheetId="1" state="visible" r:id="rId1"/>
    <sheet xmlns:r="http://schemas.openxmlformats.org/officeDocument/2006/relationships" name="Clip Log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E5B0"/>
      <sz val="14"/>
    </font>
    <font>
      <name val="Arial"/>
      <b val="1"/>
      <color rgb="0000E5B0"/>
      <sz val="11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721C24"/>
      <sz val="10"/>
    </font>
    <font>
      <name val="Arial"/>
      <b val="1"/>
      <color rgb="00856404"/>
      <sz val="10"/>
    </font>
    <font>
      <name val="Arial"/>
      <b val="1"/>
      <color rgb="0000E5B0"/>
      <sz val="16"/>
    </font>
    <font>
      <name val="Arial"/>
      <b val="1"/>
      <color rgb="0000E5B0"/>
      <sz val="10"/>
    </font>
    <font>
      <name val="Arial"/>
      <b val="1"/>
      <sz val="11"/>
    </font>
    <font>
      <name val="Arial"/>
      <b val="1"/>
      <color rgb="000B6E4F"/>
      <sz val="13"/>
    </font>
    <font>
      <name val="Arial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0B0D11"/>
      </patternFill>
    </fill>
    <fill>
      <patternFill patternType="solid">
        <fgColor rgb="00D4EDDA"/>
      </patternFill>
    </fill>
    <fill>
      <patternFill patternType="solid">
        <fgColor rgb="00F7F9FC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0FD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7" borderId="1" applyAlignment="1" pivotButton="0" quotePrefix="0" xfId="0">
      <alignment vertical="center"/>
    </xf>
    <xf numFmtId="0" fontId="10" fillId="7" borderId="1" applyAlignment="1" pivotButton="0" quotePrefix="0" xfId="0">
      <alignment horizontal="center" vertical="center"/>
    </xf>
    <xf numFmtId="0" fontId="11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36" customWidth="1" min="4" max="4"/>
    <col width="42" customWidth="1" min="5" max="5"/>
    <col width="12" customWidth="1" min="6" max="6"/>
    <col width="12" customWidth="1" min="7" max="7"/>
    <col width="11" customWidth="1" min="8" max="8"/>
    <col width="10" customWidth="1" min="9" max="9"/>
    <col width="11" customWidth="1" min="10" max="10"/>
    <col width="40" customWidth="1" min="11" max="11"/>
  </cols>
  <sheetData>
    <row r="1" ht="36" customHeight="1">
      <c r="A1" s="1" t="inlineStr">
        <is>
          <t>🎬  OrcaClip — Source Log</t>
        </is>
      </c>
    </row>
    <row r="2" ht="20" customHeight="1">
      <c r="A2" s="2" t="inlineStr">
        <is>
          <t>Timestamp</t>
        </is>
      </c>
      <c r="B2" s="2" t="inlineStr">
        <is>
          <t>Status</t>
        </is>
      </c>
      <c r="C2" s="2" t="inlineStr">
        <is>
          <t>Project ID</t>
        </is>
      </c>
      <c r="D2" s="2" t="inlineStr">
        <is>
          <t>Project Name</t>
        </is>
      </c>
      <c r="E2" s="2" t="inlineStr">
        <is>
          <t>Source URL</t>
        </is>
      </c>
      <c r="F2" s="2" t="inlineStr">
        <is>
          <t>Min Dur (s)</t>
        </is>
      </c>
      <c r="G2" s="2" t="inlineStr">
        <is>
          <t>Max Dur (s)</t>
        </is>
      </c>
      <c r="H2" s="2" t="inlineStr">
        <is>
          <t>Min Score</t>
        </is>
      </c>
      <c r="I2" s="2" t="inlineStr">
        <is>
          <t>YT Mode</t>
        </is>
      </c>
      <c r="J2" s="2" t="inlineStr">
        <is>
          <t>Total Clips</t>
        </is>
      </c>
      <c r="K2" s="2" t="inlineStr">
        <is>
          <t>Error Message</t>
        </is>
      </c>
    </row>
    <row r="3">
      <c r="A3" s="3" t="inlineStr">
        <is>
          <t>2026-05-16 06:30:00</t>
        </is>
      </c>
      <c r="B3" s="4" t="inlineStr">
        <is>
          <t>Success</t>
        </is>
      </c>
      <c r="C3" s="3" t="inlineStr">
        <is>
          <t>Video_ABC_20260516</t>
        </is>
      </c>
      <c r="D3" s="3" t="inlineStr">
        <is>
          <t>Contoh Video Podcast</t>
        </is>
      </c>
      <c r="E3" s="3" t="inlineStr">
        <is>
          <t>https://www.youtube.com/watch?v=EXAMPLE</t>
        </is>
      </c>
      <c r="F3" s="3" t="n">
        <v>80</v>
      </c>
      <c r="G3" s="3" t="n">
        <v>160</v>
      </c>
      <c r="H3" s="3" t="n">
        <v>75</v>
      </c>
      <c r="I3" s="3" t="inlineStr">
        <is>
          <t>False</t>
        </is>
      </c>
      <c r="J3" s="3" t="n">
        <v>7</v>
      </c>
      <c r="K3" s="3" t="inlineStr"/>
    </row>
    <row r="4">
      <c r="A4" s="5" t="inlineStr">
        <is>
          <t>2026-05-16 07:00:00</t>
        </is>
      </c>
      <c r="B4" s="6" t="inlineStr">
        <is>
          <t>Failed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https://www.youtube.com/watch?v=EXAMPLE2</t>
        </is>
      </c>
      <c r="F4" s="5" t="n">
        <v>80</v>
      </c>
      <c r="G4" s="5" t="n">
        <v>160</v>
      </c>
      <c r="H4" s="5" t="n">
        <v>75</v>
      </c>
      <c r="I4" s="5" t="inlineStr">
        <is>
          <t>True</t>
        </is>
      </c>
      <c r="J4" s="5" t="n">
        <v>0</v>
      </c>
      <c r="K4" s="5" t="inlineStr">
        <is>
          <t>yt-dlp: 429 Too Many Requests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13" customWidth="1" min="4" max="4"/>
    <col width="30" customWidth="1" min="5" max="5"/>
    <col width="40" customWidth="1" min="6" max="6"/>
    <col width="36" customWidth="1" min="7" max="7"/>
    <col width="36" customWidth="1" min="8" max="8"/>
    <col width="10" customWidth="1" min="9" max="9"/>
    <col width="24" customWidth="1" min="10" max="10"/>
    <col width="10" customWidth="1" min="11" max="11"/>
    <col width="24" customWidth="1" min="12" max="12"/>
    <col width="10" customWidth="1" min="13" max="13"/>
    <col width="42" customWidth="1" min="14" max="14"/>
    <col width="30" customWidth="1" min="15" max="15"/>
  </cols>
  <sheetData>
    <row r="1" ht="36" customHeight="1">
      <c r="A1" s="1" t="inlineStr">
        <is>
          <t>🎬  OrcaClip — Clip Log</t>
        </is>
      </c>
    </row>
    <row r="2" ht="20" customHeight="1">
      <c r="A2" s="2" t="inlineStr">
        <is>
          <t>Timestamp</t>
        </is>
      </c>
      <c r="B2" s="2" t="inlineStr">
        <is>
          <t>Status</t>
        </is>
      </c>
      <c r="C2" s="2" t="inlineStr">
        <is>
          <t>Viral Score</t>
        </is>
      </c>
      <c r="D2" s="2" t="inlineStr">
        <is>
          <t>Clip Duration</t>
        </is>
      </c>
      <c r="E2" s="2" t="inlineStr">
        <is>
          <t>Clip ID</t>
        </is>
      </c>
      <c r="F2" s="2" t="inlineStr">
        <is>
          <t>Clip Title</t>
        </is>
      </c>
      <c r="G2" s="2" t="inlineStr">
        <is>
          <t>Video Title</t>
        </is>
      </c>
      <c r="H2" s="2" t="inlineStr">
        <is>
          <t>Viral Reason</t>
        </is>
      </c>
      <c r="I2" s="2" t="inlineStr">
        <is>
          <t>FB Status</t>
        </is>
      </c>
      <c r="J2" s="2" t="inlineStr">
        <is>
          <t>FB Post ID</t>
        </is>
      </c>
      <c r="K2" s="2" t="inlineStr">
        <is>
          <t>IG Status</t>
        </is>
      </c>
      <c r="L2" s="2" t="inlineStr">
        <is>
          <t>IG Media ID</t>
        </is>
      </c>
      <c r="M2" s="2" t="inlineStr">
        <is>
          <t>YT Mode</t>
        </is>
      </c>
      <c r="N2" s="2" t="inlineStr">
        <is>
          <t>Caption File</t>
        </is>
      </c>
      <c r="O2" s="2" t="inlineStr">
        <is>
          <t>Project ID</t>
        </is>
      </c>
    </row>
    <row r="3">
      <c r="A3" s="3" t="inlineStr">
        <is>
          <t>2026-05-16 06:45:00</t>
        </is>
      </c>
      <c r="B3" s="4" t="inlineStr">
        <is>
          <t>Posted IG</t>
        </is>
      </c>
      <c r="C3" s="3" t="n">
        <v>95</v>
      </c>
      <c r="D3" s="3" t="n">
        <v>134</v>
      </c>
      <c r="E3" s="3" t="inlineStr">
        <is>
          <t>Video_ABC_clip_001</t>
        </is>
      </c>
      <c r="F3" s="3" t="inlineStr">
        <is>
          <t>Kenapa rupiah terus melemah?</t>
        </is>
      </c>
      <c r="G3" s="3" t="inlineStr">
        <is>
          <t>Mengapa Rupiah Melemah</t>
        </is>
      </c>
      <c r="H3" s="3" t="inlineStr">
        <is>
          <t>Pertanyaan kuat, kata kunci: kenapa, fakta</t>
        </is>
      </c>
      <c r="I3" s="3" t="inlineStr">
        <is>
          <t>✅</t>
        </is>
      </c>
      <c r="J3" s="3" t="inlineStr">
        <is>
          <t>1259866059249623</t>
        </is>
      </c>
      <c r="K3" s="3" t="inlineStr">
        <is>
          <t>✅</t>
        </is>
      </c>
      <c r="L3" s="3" t="inlineStr">
        <is>
          <t>18106607209746182</t>
        </is>
      </c>
      <c r="M3" s="3" t="inlineStr">
        <is>
          <t>False</t>
        </is>
      </c>
      <c r="N3" s="3" t="inlineStr">
        <is>
          <t>D:\clips\project\clip_001.txt</t>
        </is>
      </c>
      <c r="O3" s="3" t="inlineStr">
        <is>
          <t>Video_ABC_20260516</t>
        </is>
      </c>
    </row>
    <row r="4">
      <c r="A4" s="5" t="inlineStr">
        <is>
          <t>2026-05-16 06:50:00</t>
        </is>
      </c>
      <c r="B4" s="7" t="inlineStr">
        <is>
          <t>Clip Only</t>
        </is>
      </c>
      <c r="C4" s="5" t="n">
        <v>85</v>
      </c>
      <c r="D4" s="5" t="n">
        <v>98</v>
      </c>
      <c r="E4" s="5" t="inlineStr">
        <is>
          <t>Video_ABC_clip_002</t>
        </is>
      </c>
      <c r="F4" s="5" t="inlineStr">
        <is>
          <t>Ini rahasia yang tidak pernah diajarkan</t>
        </is>
      </c>
      <c r="G4" s="5" t="inlineStr">
        <is>
          <t>Mengapa Rupiah Melemah</t>
        </is>
      </c>
      <c r="H4" s="5" t="inlineStr">
        <is>
          <t>Kata kunci: rahasia, tidak pernah</t>
        </is>
      </c>
      <c r="I4" s="5" t="inlineStr">
        <is>
          <t>❌</t>
        </is>
      </c>
      <c r="J4" s="5" t="inlineStr"/>
      <c r="K4" s="5" t="inlineStr">
        <is>
          <t>❌</t>
        </is>
      </c>
      <c r="L4" s="5" t="inlineStr"/>
      <c r="M4" s="5" t="inlineStr">
        <is>
          <t>True</t>
        </is>
      </c>
      <c r="N4" s="5" t="inlineStr">
        <is>
          <t>D:\clips\project\clip_002.txt</t>
        </is>
      </c>
      <c r="O4" s="5" t="inlineStr">
        <is>
          <t>Video_ABC_20260516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9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22" customWidth="1" min="4" max="4"/>
  </cols>
  <sheetData>
    <row r="2" ht="40" customHeight="1">
      <c r="B2" s="8" t="inlineStr">
        <is>
          <t>📊  OrcaClip Dashboard</t>
        </is>
      </c>
    </row>
    <row r="4" ht="18" customHeight="1">
      <c r="B4" s="9" t="inlineStr">
        <is>
          <t>Metrik</t>
        </is>
      </c>
      <c r="C4" s="9" t="inlineStr">
        <is>
          <t>Nilai</t>
        </is>
      </c>
      <c r="D4" s="9" t="inlineStr">
        <is>
          <t>Keterangan</t>
        </is>
      </c>
    </row>
    <row r="5" ht="22" customHeight="1">
      <c r="A5" s="10" t="n"/>
      <c r="B5" s="11" t="inlineStr">
        <is>
          <t>Total Video Diproses</t>
        </is>
      </c>
      <c r="C5" s="12">
        <f>'Source Log'!B3</f>
        <v/>
      </c>
      <c r="D5" s="13" t="inlineStr">
        <is>
          <t>Jumlah video</t>
        </is>
      </c>
    </row>
    <row r="6" ht="22" customHeight="1">
      <c r="A6" s="10" t="n"/>
      <c r="B6" s="14" t="inlineStr">
        <is>
          <t>Total Klip Dihasilkan</t>
        </is>
      </c>
      <c r="C6" s="15">
        <f>COUNTA('Clip Log'!A:A)-2</f>
        <v/>
      </c>
      <c r="D6" s="16" t="inlineStr">
        <is>
          <t>Jumlah klip</t>
        </is>
      </c>
    </row>
    <row r="7" ht="22" customHeight="1">
      <c r="A7" s="10" t="n"/>
      <c r="B7" s="11" t="inlineStr">
        <is>
          <t>Klip Berhasil Post IG</t>
        </is>
      </c>
      <c r="C7" s="12">
        <f>COUNTIF('Clip Log'!K:K,"✅")</f>
        <v/>
      </c>
      <c r="D7" s="13" t="inlineStr">
        <is>
          <t>IG ✅</t>
        </is>
      </c>
    </row>
    <row r="8" ht="22" customHeight="1">
      <c r="A8" s="10" t="n"/>
      <c r="B8" s="14" t="inlineStr">
        <is>
          <t>Klip Berhasil Post FB</t>
        </is>
      </c>
      <c r="C8" s="15">
        <f>COUNTIF('Clip Log'!I:I,"✅")</f>
        <v/>
      </c>
      <c r="D8" s="16" t="inlineStr">
        <is>
          <t>FB ✅</t>
        </is>
      </c>
    </row>
    <row r="9" ht="22" customHeight="1">
      <c r="A9" s="10" t="n"/>
      <c r="B9" s="11" t="inlineStr">
        <is>
          <t>Avg Viral Score</t>
        </is>
      </c>
      <c r="C9" s="12">
        <f>IFERROR(AVERAGE('Clip Log'!C3:C1000),0)</f>
        <v/>
      </c>
      <c r="D9" s="13" t="inlineStr">
        <is>
          <t>Rata-rata score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2026-05-16T09:08:04Z</dcterms:created>
  <dcterms:modified xmlns:dcterms="http://purl.org/dc/terms/" xmlns:xsi="http://www.w3.org/2001/XMLSchema-instance" xsi:type="dcterms:W3CDTF">2026-05-16T09:08:04Z</dcterms:modified>
</cp:coreProperties>
</file>